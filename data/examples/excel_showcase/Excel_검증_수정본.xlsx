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a89e0a0cd493a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01_수식복원" sheetId="1" ns1:id="Rde9d3c8216044d4c"/>
    <ns0:sheet name="02_데이터검사" sheetId="2" ns1:id="Ra2e2ab37e7f04d12"/>
    <ns0:sheet name="03_행비교" sheetId="3" ns1:id="R40072fe81a4a4bf6"/>
    <ns0:sheet name="04_ID안전성" sheetId="4" ns1:id="R60da167bbdd844d6"/>
    <ns0:sheet name="05_유효성규칙" sheetId="5" ns1:id="R232b2706ea4346c5"/>
    <ns0:sheet name="06_수식검사범위" sheetId="6" ns1:id="R7f4c9d5aa8414736"/>
    <ns0:sheet name="07_저장오류값" sheetId="7" ns1:id="Reac0d5be53b14b9c"/>
    <ns0:sheet name="08_열구조변경" sheetId="8" ns1:id="R9a5386d6f65c4244"/>
    <ns0:sheet name="09_부분스키마" sheetId="9" ns1:id="R8a5b5bb21fbb4545"/>
    <ns0:sheet name="10_ID헤더없음" sheetId="10" ns1:id="R17d6fb8599ad4a33"/>
    <ns0:sheet name="11_중복헤더" sheetId="11" ns1:id="R3a74540f8f864482"/>
    <ns0:sheet name="12_지원함수" sheetId="12" ns1:id="R0b4ca21546a94e36"/>
    <ns0:sheet name="13_내보내기안전" sheetId="13" ns1:id="R62c306b525d540c9"/>
    <ns0:sheet name="15_추가된시트" sheetId="14" ns1:id="Re35acb5007a2453c"/>
  </ns0:sheets>
  <ns0:definedNames>
    <ns0:definedName name="_xlnm.Print_Area" localSheetId="0">'01_수식복원'!$A$1:$I$10</ns0:definedName>
    <ns0:definedName name="_xlnm.Print_Titles" localSheetId="0">'01_수식복원'!$1:$5</ns0:definedName>
    <ns0:definedName name="_xlnm.Print_Area" localSheetId="1">'02_데이터검사'!$A$1:$I$16</ns0:definedName>
    <ns0:definedName name="_xlnm.Print_Titles" localSheetId="1">'02_데이터검사'!$1:$5</ns0:definedName>
    <ns0:definedName name="_xlnm.Print_Area" localSheetId="2">'03_행비교'!$A$1:$I$9</ns0:definedName>
    <ns0:definedName name="_xlnm.Print_Titles" localSheetId="2">'03_행비교'!$1:$5</ns0:definedName>
    <ns0:definedName name="_xlnm.Print_Area" localSheetId="3">'04_ID안전성'!$A$1:$I$13</ns0:definedName>
    <ns0:definedName name="_xlnm.Print_Titles" localSheetId="3">'04_ID안전성'!$1:$5</ns0:definedName>
    <ns0:definedName name="_xlnm.Print_Area" localSheetId="4">'05_유효성규칙'!$A$1:$I$9</ns0:definedName>
    <ns0:definedName name="_xlnm.Print_Titles" localSheetId="4">'05_유효성규칙'!$1:$5</ns0:definedName>
    <ns0:definedName name="_xlnm.Print_Area" localSheetId="5">'06_수식검사범위'!$A$1:$I$15</ns0:definedName>
    <ns0:definedName name="_xlnm.Print_Titles" localSheetId="5">'06_수식검사범위'!$1:$5</ns0:definedName>
    <ns0:definedName name="_xlnm.Print_Area" localSheetId="6">'07_저장오류값'!$A$1:$I$14</ns0:definedName>
    <ns0:definedName name="_xlnm.Print_Titles" localSheetId="6">'07_저장오류값'!$1:$5</ns0:definedName>
    <ns0:definedName name="_xlnm.Print_Area" localSheetId="7">'08_열구조변경'!$A$1:$I$6</ns0:definedName>
    <ns0:definedName name="_xlnm.Print_Titles" localSheetId="7">'08_열구조변경'!$1:$5</ns0:definedName>
    <ns0:definedName name="_xlnm.Print_Area" localSheetId="8">'09_부분스키마'!$A$1:$I$6</ns0:definedName>
    <ns0:definedName name="_xlnm.Print_Titles" localSheetId="8">'09_부분스키마'!$1:$5</ns0:definedName>
    <ns0:definedName name="_xlnm.Print_Area" localSheetId="9">'10_ID헤더없음'!$A$1:$I$6</ns0:definedName>
    <ns0:definedName name="_xlnm.Print_Titles" localSheetId="9">'10_ID헤더없음'!$1:$5</ns0:definedName>
    <ns0:definedName name="_xlnm.Print_Area" localSheetId="10">'11_중복헤더'!$A$1:$I$6</ns0:definedName>
    <ns0:definedName name="_xlnm.Print_Titles" localSheetId="10">'11_중복헤더'!$1:$5</ns0:definedName>
    <ns0:definedName name="_xlnm.Print_Area" localSheetId="11">'12_지원함수'!$A$1:$I$15</ns0:definedName>
    <ns0:definedName name="_xlnm.Print_Titles" localSheetId="11">'12_지원함수'!$1:$5</ns0:definedName>
    <ns0:definedName name="_xlnm.Print_Area" localSheetId="12">'13_내보내기안전'!$A$1:$I$6</ns0:definedName>
    <ns0:definedName name="_xlnm.Print_Titles" localSheetId="12">'13_내보내기안전'!$1:$5</ns0:definedName>
    <ns0:definedName name="_xlnm.Print_Area" localSheetId="13">'15_추가된시트'!$A$1:$I$6</ns0:definedName>
    <ns0:definedName name="_xlnm.Print_Titles" localSheetId="13">'15_추가된시트'!$1:$5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[Red](#,##0);0"/>
  </x:numFmts>
  <x:fonts count="12">
    <x:font>
      <x:sz val="11"/>
      <x:name val="Carlito"/>
    </x:font>
    <x:font>
      <x:sz val="12"/>
      <x:color rgb="FF203244"/>
      <x:name val="Arial"/>
    </x:font>
    <x:font>
      <x:sz val="10"/>
      <x:color rgb="FF657D90"/>
      <x:name val="Arial"/>
    </x:font>
    <x:font>
      <x:b/>
      <x:sz val="18"/>
      <x:color rgb="FF173F5F"/>
      <x:name val="Arial"/>
    </x:font>
    <x:font>
      <x:sz val="11"/>
      <x:color rgb="FF536D82"/>
      <x:name val="Arial"/>
    </x:font>
    <x:font>
      <x:sz val="10"/>
      <x:color rgb="FF36566F"/>
      <x:name val="Arial"/>
    </x:font>
    <x:font>
      <x:b/>
      <x:sz val="11"/>
      <x:color rgb="FFFFFFFF"/>
      <x:name val="Arial"/>
    </x:font>
    <x:font>
      <x:b/>
      <x:sz val="10"/>
      <x:color rgb="FF6B7280"/>
      <x:name val="Arial"/>
    </x:font>
    <x:font>
      <x:sz val="10"/>
      <x:color rgb="FF6B7280"/>
      <x:name val="Arial"/>
    </x:font>
    <x:font>
      <x:b/>
      <x:sz val="12"/>
      <x:color rgb="FF203244"/>
      <x:name val="Arial"/>
    </x:font>
    <x:font>
      <x:b/>
      <x:sz val="12"/>
      <x:color rgb="FFFFFFFF"/>
      <x:name val="Arial"/>
    </x:font>
    <x:font>
      <x:b/>
      <x:sz val="12"/>
      <x:color rgb="FF174B6C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5EDF4"/>
      </x:patternFill>
    </x:fill>
    <x:fill>
      <x:patternFill patternType="solid">
        <x:fgColor rgb="FF374151"/>
      </x:patternFill>
    </x:fill>
    <x:fill>
      <x:patternFill patternType="solid">
        <x:fgColor rgb="FFF5F6F8"/>
      </x:patternFill>
    </x:fill>
    <x:fill>
      <x:patternFill patternType="solid">
        <x:fgColor rgb="FFFFFFFF"/>
      </x:patternFill>
    </x:fill>
    <x:fill>
      <x:patternFill patternType="solid">
        <x:fgColor rgb="FFEAF1F7"/>
      </x:patternFill>
    </x:fill>
    <x:fill>
      <x:patternFill patternType="solid">
        <x:fgColor rgb="FF173F5F"/>
      </x:patternFill>
    </x:fill>
    <x:fill>
      <x:patternFill patternType="solid">
        <x:fgColor rgb="FFE0EDF5"/>
      </x:patternFill>
    </x:fill>
  </x:fills>
  <x:borders count="13">
    <x:border>
      <x:left/>
      <x:right/>
      <x:top/>
      <x:bottom/>
      <x:diagonal/>
    </x:border>
    <x:border>
      <x:left style="thin">
        <x:color rgb="FF8EA5B9"/>
      </x:left>
      <x:right/>
      <x:top style="medium">
        <x:color rgb="FF536F88"/>
      </x:top>
      <x:bottom style="thin">
        <x:color rgb="FFB9C9D7"/>
      </x:bottom>
      <x:diagonal/>
    </x:border>
    <x:border>
      <x:left/>
      <x:right/>
      <x:top style="medium">
        <x:color rgb="FF536F88"/>
      </x:top>
      <x:bottom style="thin">
        <x:color rgb="FFB9C9D7"/>
      </x:bottom>
      <x:diagonal/>
    </x:border>
    <x:border>
      <x:left/>
      <x:right style="thin">
        <x:color rgb="FF8EA5B9"/>
      </x:right>
      <x:top style="medium">
        <x:color rgb="FF536F88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thin">
        <x:color rgb="FFB9C9D7"/>
      </x:bottom>
      <x:diagonal/>
    </x:border>
    <x:border>
      <x:left/>
      <x:right/>
      <x:top style="thin">
        <x:color rgb="FFB9C9D7"/>
      </x:top>
      <x:bottom style="thin">
        <x:color rgb="FFB9C9D7"/>
      </x:bottom>
      <x:diagonal/>
    </x:border>
    <x:border>
      <x:left/>
      <x:right style="thin">
        <x:color rgb="FF8EA5B9"/>
      </x:right>
      <x:top style="thin">
        <x:color rgb="FFB9C9D7"/>
      </x:top>
      <x:bottom style="thin">
        <x:color rgb="FFB9C9D7"/>
      </x:bottom>
      <x:diagonal/>
    </x:border>
    <x:border>
      <x:left style="thin">
        <x:color rgb="FF8EA5B9"/>
      </x:left>
      <x:right/>
      <x:top style="thin">
        <x:color rgb="FFB9C9D7"/>
      </x:top>
      <x:bottom style="medium">
        <x:color rgb="FF536F88"/>
      </x:bottom>
      <x:diagonal/>
    </x:border>
    <x:border>
      <x:left/>
      <x:right/>
      <x:top style="thin">
        <x:color rgb="FFB9C9D7"/>
      </x:top>
      <x:bottom style="medium">
        <x:color rgb="FF536F88"/>
      </x:bottom>
      <x:diagonal/>
    </x:border>
    <x:border>
      <x:left/>
      <x:right style="thin">
        <x:color rgb="FF8EA5B9"/>
      </x:right>
      <x:top style="thin">
        <x:color rgb="FFB9C9D7"/>
      </x:top>
      <x:bottom style="medium">
        <x:color rgb="FF536F88"/>
      </x:bottom>
      <x:diagonal/>
    </x:border>
    <x:border>
      <x:left style="thin">
        <x:color rgb="FF8EA5B9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FFFFFF"/>
      </x:right>
      <x:top style="medium">
        <x:color rgb="FF536F88"/>
      </x:top>
      <x:bottom style="medium">
        <x:color rgb="FF163C5A"/>
      </x:bottom>
      <x:diagonal/>
    </x:border>
    <x:border>
      <x:left style="thin">
        <x:color rgb="FFFFFFFF"/>
      </x:left>
      <x:right style="thin">
        <x:color rgb="FF8EA5B9"/>
      </x:right>
      <x:top style="medium">
        <x:color rgb="FF536F88"/>
      </x:top>
      <x:bottom style="medium">
        <x:color rgb="FF163C5A"/>
      </x:bottom>
      <x:diagonal/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1" xfId="0" applyNumberFormat="1" applyFont="1" applyFill="1" applyBorder="1" applyAlignment="1">
      <x:alignment horizontal="center" vertical="center"/>
    </x:xf>
    <x:xf numFmtId="0" fontId="9" fillId="3" borderId="2" xfId="0" applyNumberFormat="1" applyFont="1" applyFill="1" applyBorder="1" applyAlignment="1">
      <x:alignment horizontal="center" vertical="center"/>
    </x:xf>
    <x:xf numFmtId="0" fontId="9" fillId="3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9" fillId="7" borderId="2" xfId="0" applyNumberFormat="1" applyFont="1" applyFill="1" applyBorder="1" applyAlignment="1">
      <x:alignment horizontal="center" vertical="center"/>
    </x:xf>
    <x:xf numFmtId="0" fontId="9" fillId="7" borderId="3" xfId="0" applyNumberFormat="1" applyFont="1" applyFill="1" applyBorder="1" applyAlignment="1">
      <x:alignment horizontal="center" vertical="center"/>
    </x:xf>
    <x:xf numFmtId="0" fontId="10" fillId="7" borderId="1" xfId="0" applyNumberFormat="1" applyFont="1" applyFill="1" applyBorder="1" applyAlignment="1">
      <x:alignment horizontal="center" vertical="center"/>
    </x:xf>
    <x:xf numFmtId="0" fontId="10" fillId="7" borderId="2" xfId="0" applyNumberFormat="1" applyFont="1" applyFill="1" applyBorder="1" applyAlignment="1">
      <x:alignment horizontal="center" vertical="center"/>
    </x:xf>
    <x:xf numFmtId="0" fontId="10" fillId="7" borderId="3" xfId="0" applyNumberFormat="1" applyFont="1" applyFill="1" applyBorder="1" applyAlignment="1">
      <x:alignment horizontal="center" vertical="center"/>
    </x:xf>
    <x:xf numFmtId="0" fontId="10" fillId="7" borderId="10" xfId="0" applyNumberFormat="1" applyFont="1" applyFill="1" applyBorder="1" applyAlignment="1">
      <x:alignment horizontal="center" vertical="center"/>
    </x:xf>
    <x:xf numFmtId="0" fontId="10" fillId="7" borderId="11" xfId="0" applyNumberFormat="1" applyFont="1" applyFill="1" applyBorder="1" applyAlignment="1">
      <x:alignment horizontal="center" vertical="center"/>
    </x:xf>
    <x:xf numFmtId="0" fontId="10" fillId="7" borderId="12" xfId="0" applyNumberFormat="1" applyFont="1" applyFill="1" applyBorder="1" applyAlignment="1">
      <x:alignment horizontal="center" vertical="center"/>
    </x:xf>
    <x:xf numFmtId="201" fontId="1" fillId="5" borderId="5" xfId="0" applyNumberFormat="1" applyFont="1" applyFill="1" applyBorder="1" applyAlignment="1">
      <x:alignment vertical="center"/>
    </x:xf>
    <x:xf numFmtId="201" fontId="1" fillId="6" borderId="5" xfId="0" applyNumberFormat="1" applyFont="1" applyFill="1" applyBorder="1" applyAlignment="1">
      <x:alignment vertical="center"/>
    </x:xf>
    <x:xf numFmtId="201" fontId="1" fillId="5" borderId="8" xfId="0" applyNumberFormat="1" applyFont="1" applyFill="1" applyBorder="1" applyAlignment="1">
      <x:alignment vertical="center"/>
    </x:xf>
    <x:xf numFmtId="201" fontId="1" fillId="5" borderId="5" xfId="0" applyNumberFormat="1" applyFont="1" applyFill="1" applyBorder="1" applyAlignment="1">
      <x:alignment horizontal="right" vertical="center"/>
    </x:xf>
    <x:xf numFmtId="201" fontId="1" fillId="6" borderId="5" xfId="0" applyNumberFormat="1" applyFont="1" applyFill="1" applyBorder="1" applyAlignment="1">
      <x:alignment horizontal="right" vertical="center"/>
    </x:xf>
    <x:xf numFmtId="201" fontId="1" fillId="5" borderId="8" xfId="0" applyNumberFormat="1" applyFont="1" applyFill="1" applyBorder="1" applyAlignment="1">
      <x:alignment horizontal="right" vertical="center"/>
    </x:xf>
    <x:xf numFmtId="201" fontId="1" fillId="8" borderId="5" xfId="0" applyNumberFormat="1" applyFont="1" applyFill="1" applyBorder="1" applyAlignment="1">
      <x:alignment horizontal="right" vertical="center"/>
    </x:xf>
    <x:xf numFmtId="201" fontId="1" fillId="8" borderId="8" xfId="0" applyNumberFormat="1" applyFont="1" applyFill="1" applyBorder="1" applyAlignment="1">
      <x:alignment horizontal="right" vertical="center"/>
    </x:xf>
    <x:xf numFmtId="201" fontId="11" fillId="8" borderId="5" xfId="0" applyNumberFormat="1" applyFont="1" applyFill="1" applyBorder="1" applyAlignment="1">
      <x:alignment horizontal="right" vertical="center"/>
    </x:xf>
    <x:xf numFmtId="201" fontId="11" fillId="8" borderId="8" xfId="0" applyNumberFormat="1" applyFont="1" applyFill="1" applyBorder="1" applyAlignment="1">
      <x:alignment horizontal="right" vertical="center"/>
    </x:xf>
    <x:xf numFmtId="0" fontId="1" fillId="5" borderId="6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horizontal="center" vertical="center"/>
    </x:xf>
    <x:xf numFmtId="201" fontId="1" fillId="5" borderId="5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7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6" borderId="7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201" fontId="1" fillId="6" borderId="8" xfId="0" applyNumberFormat="1" applyFont="1" applyFill="1" applyBorder="1" applyAlignment="1">
      <x:alignment vertical="center"/>
    </x:xf>
    <x:xf numFmtId="201" fontId="1" fillId="6" borderId="8" xfId="0" applyNumberFormat="1" applyFont="1" applyFill="1" applyBorder="1" applyAlignment="1">
      <x:alignment horizontal="right" vertical="center"/>
    </x:xf>
    <x:xf numFmtId="0" fontId="1" fillId="6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6"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A6332D"/>
      </x:font>
      <x:fill>
        <x:patternFill patternType="solid">
          <x:bgColor rgb="FFFCE8E6"/>
        </x:patternFill>
      </x:fill>
    </x:dxf>
    <x:dxf>
      <x:fill>
        <x:patternFill patternType="solid">
          <x:bgColor rgb="FFFFF1CF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  <x:dxf>
      <x:font>
        <x:color rgb="FF24573C"/>
      </x:font>
      <x:fill>
        <x:patternFill patternType="solid">
          <x:bgColor rgb="FFE2F0E6"/>
        </x:patternFill>
      </x:fill>
    </x:dxf>
    <x:dxf>
      <x:font>
        <x:color rgb="FF855A12"/>
      </x:font>
      <x:fill>
        <x:patternFill patternType="solid">
          <x:bgColor rgb="FFFFF1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8311bbf2e846e2" /><Relationship Type="http://schemas.openxmlformats.org/officeDocument/2006/relationships/theme" Target="/xl/theme/theme1.xml" Id="Rc94ac89d55884d11" /><Relationship Type="http://schemas.microsoft.com/office/2022/11/relationships/FeaturePropertyBag" Target="/xl/featurePropertyBag/featurePropertyBag.xml" Id="R7f6dd122c7ea42f3" /><Relationship Type="http://schemas.openxmlformats.org/officeDocument/2006/relationships/sharedStrings" Target="/xl/sharedStrings.xml" Id="R997dc7eb08f44bce" /><Relationship Type="http://schemas.openxmlformats.org/officeDocument/2006/relationships/worksheet" Target="/xl/worksheets/sheet1.xml" Id="Rde9d3c8216044d4c" /><Relationship Type="http://schemas.openxmlformats.org/officeDocument/2006/relationships/worksheet" Target="/xl/worksheets/sheet2.xml" Id="Ra2e2ab37e7f04d12" /><Relationship Type="http://schemas.openxmlformats.org/officeDocument/2006/relationships/worksheet" Target="/xl/worksheets/sheet3.xml" Id="R40072fe81a4a4bf6" /><Relationship Type="http://schemas.openxmlformats.org/officeDocument/2006/relationships/worksheet" Target="/xl/worksheets/sheet4.xml" Id="R60da167bbdd844d6" /><Relationship Type="http://schemas.openxmlformats.org/officeDocument/2006/relationships/worksheet" Target="/xl/worksheets/sheet5.xml" Id="R232b2706ea4346c5" /><Relationship Type="http://schemas.openxmlformats.org/officeDocument/2006/relationships/worksheet" Target="/xl/worksheets/sheet6.xml" Id="R7f4c9d5aa8414736" /><Relationship Type="http://schemas.openxmlformats.org/officeDocument/2006/relationships/worksheet" Target="/xl/worksheets/sheet7.xml" Id="Reac0d5be53b14b9c" /><Relationship Type="http://schemas.openxmlformats.org/officeDocument/2006/relationships/worksheet" Target="/xl/worksheets/sheet8.xml" Id="R9a5386d6f65c4244" /><Relationship Type="http://schemas.openxmlformats.org/officeDocument/2006/relationships/worksheet" Target="/xl/worksheets/sheet9.xml" Id="R8a5b5bb21fbb4545" /><Relationship Type="http://schemas.openxmlformats.org/officeDocument/2006/relationships/worksheet" Target="/xl/worksheets/sheet10.xml" Id="R17d6fb8599ad4a33" /><Relationship Type="http://schemas.openxmlformats.org/officeDocument/2006/relationships/worksheet" Target="/xl/worksheets/sheet11.xml" Id="R3a74540f8f864482" /><Relationship Type="http://schemas.openxmlformats.org/officeDocument/2006/relationships/worksheet" Target="/xl/worksheets/sheet12.xml" Id="R0b4ca21546a94e36" /><Relationship Type="http://schemas.openxmlformats.org/officeDocument/2006/relationships/worksheet" Target="/xl/worksheets/sheet13.xml" Id="R62c306b525d540c9" /><Relationship Type="http://schemas.openxmlformats.org/officeDocument/2006/relationships/worksheet" Target="/xl/worksheets/sheet14.xml" Id="Re35acb5007a245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tabColor rgb="FF313743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수식복원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수식 5개를 의도적으로 변경했습니다. 검토 후 기준 수식을 사본에 복원합니다.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F-1</ns0:v>
      </ns0:c>
      <ns0:c r="B6" s="33" t="str">
        <ns0:v>수식 상수화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F-2</ns0:v>
      </ns0:c>
      <ns0:c r="B7" s="36" t="str">
        <ns0:v>수식 누락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/>
      <ns0:c r="G7" s="61" t="str">
        <ns0:v>진행</ns0:v>
      </ns0:c>
      <ns0:c r="H7" s="2"/>
      <ns0:c r="I7" s="17" t="str"/>
    </ns0:row>
    <ns0:row r="8" ht="32" customHeight="1">
      <ns0:c r="A8" s="32" t="str">
        <ns0:v>F-3</ns0:v>
      </ns0:c>
      <ns0:c r="B8" s="33" t="str">
        <ns0:v>수식 변경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D8+E8</ns0:f>
        <ns0:v>1002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F-4</ns0:v>
      </ns0:c>
      <ns0:c r="B9" s="36" t="str">
        <ns0:v>깨진 참조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e">
        <ns0:f>#REF!*E9</ns0:f>
        <ns0:v>#REF!</ns0:v>
      </ns0:c>
      <ns0:c r="G9" s="61" t="str">
        <ns0:v>진행</ns0:v>
      </ns0:c>
      <ns0:c r="H9" s="2"/>
      <ns0:c r="I9" s="17" t="str"/>
    </ns0:row>
    <ns0:row r="10" ht="32" customHeight="1">
      <ns0:c r="A10" s="38" t="str">
        <ns0:v>F-5</ns0:v>
      </ns0:c>
      <ns0:c r="B10" s="39" t="str">
        <ns0:v>수식이 텍스트로 변경</ns0:v>
      </ns0:c>
      <ns0:c r="C10" s="39" t="str">
        <ns0:v>김예제</ns0:v>
      </ns0:c>
      <ns0:c r="D10" s="55" t="n">
        <ns0:v>2</ns0:v>
      </ns0:c>
      <ns0:c r="E10" s="55" t="n">
        <ns0:v>1000</ns0:v>
      </ns0:c>
      <ns0:c r="F10" s="59" t="str">
        <ns0:v>수식 삭제</ns0:v>
      </ns0:c>
      <ns0:c r="G10" s="62" t="str">
        <ns0:v>진행</ns0:v>
      </ns0:c>
      <ns0:c r="H10" s="2"/>
      <ns0:c r="I10" s="17" t="str"/>
    </ns0:row>
  </ns0:sheetData>
  <ns0:autoFilter ref="A5:G10"/>
  <ns0:mergeCells>
    <ns0:mergeCell ref="A1:I1"/>
    <ns0:mergeCell ref="A2:I2"/>
    <ns0:mergeCell ref="A3:I3"/>
    <ns0:mergeCell ref="A4:C4"/>
    <ns0:mergeCell ref="F4:I4"/>
  </ns0:mergeCells>
  <ns0:conditionalFormatting sqref="G6:G10">
    <ns0:cfRule type="containsText" dxfId="0" priority="1" operator="containsText" text="완료"/>
    <ns0:cfRule type="containsText" dxfId="1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데이터검사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필수값·숫자 입력·음수·상태 규칙을 확인합니다. 0은 비어 있음과 구분합니다.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D-1</ns0:v>
      </ns0:c>
      <ns0:c r="B6" s="33"/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D6*E6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D-2</ns0:v>
      </ns0:c>
      <ns0:c r="B7" s="36" t="str">
        <ns0:v>담당자 필수</ns0:v>
      </ns0:c>
      <ns0:c r="C7" s="36"/>
      <ns0:c r="D7" s="54" t="n">
        <ns0:v>2</ns0:v>
      </ns0:c>
      <ns0:c r="E7" s="54" t="n">
        <ns0:v>1000</ns0:v>
      </ns0:c>
      <ns0:c r="F7" s="58" t="n">
        <ns0:f>D7*E7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D-3</ns0:v>
      </ns0:c>
      <ns0:c r="B8" s="33" t="str">
        <ns0:v>수량 필수</ns0:v>
      </ns0:c>
      <ns0:c r="C8" s="33" t="str">
        <ns0:v>김예제</ns0:v>
      </ns0:c>
      <ns0:c r="D8" s="53"/>
      <ns0:c r="E8" s="53" t="n">
        <ns0:v>1000</ns0:v>
      </ns0:c>
      <ns0:c r="F8" s="58" t="n">
        <ns0:f>D8*E8</ns0:f>
        <ns0:v>0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D-4</ns0:v>
      </ns0:c>
      <ns0:c r="B9" s="36" t="str">
        <ns0:v>단가 필수</ns0:v>
      </ns0:c>
      <ns0:c r="C9" s="36" t="str">
        <ns0:v>김예제</ns0:v>
      </ns0:c>
      <ns0:c r="D9" s="54" t="n">
        <ns0:v>2</ns0:v>
      </ns0:c>
      <ns0:c r="E9" s="54"/>
      <ns0:c r="F9" s="58" t="n">
        <ns0:f>D9*E9</ns0:f>
        <ns0:v>0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D-5</ns0:v>
      </ns0:c>
      <ns0:c r="B10" s="33" t="str">
        <ns0:v>상태 필수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n">
        <ns0:f>D10*E10</ns0:f>
        <ns0:v>2000</ns0:v>
      </ns0:c>
      <ns0:c r="G10" s="60"/>
      <ns0:c r="H10" s="2"/>
      <ns0:c r="I10" s="17" t="str"/>
    </ns0:row>
    <ns0:row r="11" ht="32" customHeight="1">
      <ns0:c r="A11" s="35" t="str">
        <ns0:v>D-6</ns0:v>
      </ns0:c>
      <ns0:c r="B11" s="36" t="str">
        <ns0:v>숫자 대신 문자</ns0:v>
      </ns0:c>
      <ns0:c r="C11" s="36" t="str">
        <ns0:v>김예제</ns0:v>
      </ns0:c>
      <ns0:c r="D11" s="54" t="str">
        <ns0:v>열 개</ns0:v>
      </ns0:c>
      <ns0:c r="E11" s="54" t="n">
        <ns0:v>1000</ns0:v>
      </ns0:c>
      <ns0:c r="F11" s="58" t="e">
        <ns0:f>D11*E11</ns0:f>
        <ns0:v>#VALUE!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D-7</ns0:v>
      </ns0:c>
      <ns0:c r="B12" s="33" t="str">
        <ns0:v>숫자 대신 논리값</ns0:v>
      </ns0:c>
      <ns0:c r="C12" s="33" t="str">
        <ns0:v>김예제</ns0:v>
      </ns0:c>
      <ns0:c r="D12" s="53" t="n">
        <ns0:v>2</ns0:v>
      </ns0:c>
      <ns0:c r="E12" s="63" t="b">
        <ns0:v>1</ns0:v>
      </ns0:c>
      <ns0:c r="F12" s="58" t="n">
        <ns0:f>D12*E12</ns0:f>
        <ns0:v>2</ns0:v>
      </ns0:c>
      <ns0:c r="G12" s="60" t="str">
        <ns0:v>진행</ns0:v>
      </ns0:c>
      <ns0:c r="H12" s="2"/>
      <ns0:c r="I12" s="17" t="str"/>
    </ns0:row>
    <ns0:row r="13" ht="32" customHeight="1">
      <ns0:c r="A13" s="35" t="str">
        <ns0:v>D-8</ns0:v>
      </ns0:c>
      <ns0:c r="B13" s="36" t="str">
        <ns0:v>음수 수량</ns0:v>
      </ns0:c>
      <ns0:c r="C13" s="36" t="str">
        <ns0:v>김예제</ns0:v>
      </ns0:c>
      <ns0:c r="D13" s="54" t="n">
        <ns0:v>-1</ns0:v>
      </ns0:c>
      <ns0:c r="E13" s="54" t="n">
        <ns0:v>1000</ns0:v>
      </ns0:c>
      <ns0:c r="F13" s="58" t="n">
        <ns0:f>D13*E13</ns0:f>
        <ns0:v>-1000</ns0:v>
      </ns0:c>
      <ns0:c r="G13" s="61" t="str">
        <ns0:v>진행</ns0:v>
      </ns0:c>
      <ns0:c r="H13" s="2"/>
      <ns0:c r="I13" s="17" t="str"/>
    </ns0:row>
    <ns0:row r="14" ht="32" customHeight="1">
      <ns0:c r="A14" s="32" t="str">
        <ns0:v>D-9</ns0:v>
      </ns0:c>
      <ns0:c r="B14" s="33" t="str">
        <ns0:v>음수 단가</ns0:v>
      </ns0:c>
      <ns0:c r="C14" s="33" t="str">
        <ns0:v>김예제</ns0:v>
      </ns0:c>
      <ns0:c r="D14" s="53" t="n">
        <ns0:v>2</ns0:v>
      </ns0:c>
      <ns0:c r="E14" s="53" t="n">
        <ns0:v>-200</ns0:v>
      </ns0:c>
      <ns0:c r="F14" s="58" t="n">
        <ns0:f>D14*E14</ns0:f>
        <ns0:v>-400</ns0:v>
      </ns0:c>
      <ns0:c r="G14" s="60" t="str">
        <ns0:v>진행</ns0:v>
      </ns0:c>
      <ns0:c r="H14" s="2"/>
      <ns0:c r="I14" s="17" t="str"/>
    </ns0:row>
    <ns0:row r="15" ht="32" customHeight="1">
      <ns0:c r="A15" s="35" t="str">
        <ns0:v>D-10</ns0:v>
      </ns0:c>
      <ns0:c r="B15" s="36" t="str">
        <ns0:v>허용 상태</ns0:v>
      </ns0:c>
      <ns0:c r="C15" s="36" t="str">
        <ns0:v>김예제</ns0:v>
      </ns0:c>
      <ns0:c r="D15" s="54" t="n">
        <ns0:v>2</ns0:v>
      </ns0:c>
      <ns0:c r="E15" s="54" t="n">
        <ns0:v>1000</ns0:v>
      </ns0:c>
      <ns0:c r="F15" s="58" t="n">
        <ns0:f>D15*E15</ns0:f>
        <ns0:v>2000</ns0:v>
      </ns0:c>
      <ns0:c r="G15" s="61" t="str">
        <ns0:v>종료</ns0:v>
      </ns0:c>
      <ns0:c r="H15" s="2"/>
      <ns0:c r="I15" s="17" t="str"/>
    </ns0:row>
    <ns0:row r="16" ht="32" customHeight="1">
      <ns0:c r="A16" s="38" t="str">
        <ns0:v>D-11</ns0:v>
      </ns0:c>
      <ns0:c r="B16" s="39" t="str">
        <ns0:v>0은 정상값</ns0:v>
      </ns0:c>
      <ns0:c r="C16" s="39" t="str">
        <ns0:v>김예제</ns0:v>
      </ns0:c>
      <ns0:c r="D16" s="55" t="n">
        <ns0:v>0</ns0:v>
      </ns0:c>
      <ns0:c r="E16" s="55" t="n">
        <ns0:v>1000</ns0:v>
      </ns0:c>
      <ns0:c r="F16" s="59" t="n">
        <ns0:f>D16*E16</ns0:f>
        <ns0:v>0</ns0:v>
      </ns0:c>
      <ns0:c r="G16" s="62" t="str">
        <ns0:v>진행</ns0:v>
      </ns0:c>
      <ns0:c r="H16" s="2"/>
      <ns0:c r="I16" s="17" t="str"/>
    </ns0:row>
  </ns0:sheetData>
  <ns0:autoFilter ref="A5:G16"/>
  <ns0:mergeCells>
    <ns0:mergeCell ref="A1:I1"/>
    <ns0:mergeCell ref="A2:I2"/>
    <ns0:mergeCell ref="A3:I3"/>
    <ns0:mergeCell ref="A4:C4"/>
    <ns0:mergeCell ref="F4:I4"/>
  </ns0:mergeCells>
  <ns0:conditionalFormatting sqref="G6:G16">
    <ns0:cfRule type="containsText" dxfId="2" priority="1" operator="containsText" text="완료"/>
    <ns0:cfRule type="containsText" dxfId="3" priority="2" operator="containsText" text="보류"/>
  </ns0:conditionalFormatting>
  <ns0:conditionalFormatting sqref="D6:E16">
    <ns0:cfRule type="cellIs" dxfId="4" priority="3" operator="lessThan">
      <ns0:formula>0</ns0:formula>
    </ns0:cfRule>
  </ns0:conditionalFormatting>
  <ns0:conditionalFormatting sqref="B6:C16">
    <ns0:cfRule type="containsBlanks" dxfId="5" priority="4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3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행비교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ID로 행을 맞춥니다. 순서만 바꾼 행은 변경으로 오인하지 않고 추가·삭제를 구분합니다.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R-C</ns0:v>
      </ns0:c>
      <ns0:c r="B6" s="33" t="str">
        <ns0:v>순서 C</ns0:v>
      </ns0:c>
      <ns0:c r="C6" s="33" t="str">
        <ns0:v>김예제</ns0:v>
      </ns0:c>
      <ns0:c r="D6" s="53" t="n">
        <ns0:v>4</ns0:v>
      </ns0:c>
      <ns0:c r="E6" s="53" t="n">
        <ns0:v>300</ns0:v>
      </ns0:c>
      <ns0:c r="F6" s="58" t="n">
        <ns0:f>D6*E6</ns0:f>
        <ns0:v>1200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R-A</ns0:v>
      </ns0:c>
      <ns0:c r="B7" s="36" t="str">
        <ns0:v>순서 A</ns0:v>
      </ns0:c>
      <ns0:c r="C7" s="36" t="str">
        <ns0:v>김예제</ns0:v>
      </ns0:c>
      <ns0:c r="D7" s="54" t="n">
        <ns0:v>2</ns0:v>
      </ns0:c>
      <ns0:c r="E7" s="54" t="n">
        <ns0:v>100</ns0:v>
      </ns0:c>
      <ns0:c r="F7" s="58" t="n">
        <ns0:f>D7*E7</ns0:f>
        <ns0:v>200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R-B</ns0:v>
      </ns0:c>
      <ns0:c r="B8" s="33" t="str">
        <ns0:v>순서 B</ns0:v>
      </ns0:c>
      <ns0:c r="C8" s="33" t="str">
        <ns0:v>김예제</ns0:v>
      </ns0:c>
      <ns0:c r="D8" s="53" t="n">
        <ns0:v>3</ns0:v>
      </ns0:c>
      <ns0:c r="E8" s="53" t="n">
        <ns0:v>200</ns0:v>
      </ns0:c>
      <ns0:c r="F8" s="58" t="n">
        <ns0:f>D8*E8</ns0:f>
        <ns0:v>600</ns0:v>
      </ns0:c>
      <ns0:c r="G8" s="60" t="str">
        <ns0:v>진행</ns0:v>
      </ns0:c>
      <ns0:c r="H8" s="2"/>
      <ns0:c r="I8" s="17" t="str"/>
    </ns0:row>
    <ns0:row r="9" ht="32" customHeight="1">
      <ns0:c r="A9" s="67" t="str">
        <ns0:v>R-ADD</ns0:v>
      </ns0:c>
      <ns0:c r="B9" s="68" t="str">
        <ns0:v>추가된 행</ns0:v>
      </ns0:c>
      <ns0:c r="C9" s="68" t="str">
        <ns0:v>김예제</ns0:v>
      </ns0:c>
      <ns0:c r="D9" s="71" t="n">
        <ns0:v>5</ns0:v>
      </ns0:c>
      <ns0:c r="E9" s="71" t="n">
        <ns0:v>700</ns0:v>
      </ns0:c>
      <ns0:c r="F9" s="59" t="n">
        <ns0:f>D9*E9</ns0:f>
        <ns0:v>3500</ns0:v>
      </ns0:c>
      <ns0:c r="G9" s="72" t="str">
        <ns0:v>진행</ns0:v>
      </ns0:c>
      <ns0:c r="H9" s="2"/>
      <ns0:c r="I9" s="17" t="str"/>
    </ns0:row>
  </ns0:sheetData>
  <ns0:autoFilter ref="A5:G9"/>
  <ns0:mergeCells>
    <ns0:mergeCell ref="A1:I1"/>
    <ns0:mergeCell ref="A2:I2"/>
    <ns0:mergeCell ref="A3:I3"/>
    <ns0:mergeCell ref="A4:C4"/>
    <ns0:mergeCell ref="F4:I4"/>
  </ns0:mergeCells>
  <ns0:conditionalFormatting sqref="G6:G9">
    <ns0:cfRule type="containsText" dxfId="6" priority="1" operator="containsText" text="완료"/>
    <ns0:cfRule type="containsText" dxfId="7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4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ID안전성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중복·빈값·수식 ID에서는 복원을 차단합니다. 숫자/문자 ID와 공백은 임의로 합치지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B-DUP</ns0:v>
      </ns0:c>
      <ns0:c r="B6" s="33" t="str">
        <ns0:v>ID 사례 1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v>999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B-NEW</ns0:v>
      </ns0:c>
      <ns0:c r="B7" s="36" t="str">
        <ns0:v>ID 사례 2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D7*E7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C-DUP</ns0:v>
      </ns0:c>
      <ns0:c r="B8" s="33" t="str">
        <ns0:v>ID 사례 3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v>999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C-DUP</ns0:v>
      </ns0:c>
      <ns0:c r="B9" s="36" t="str">
        <ns0:v>ID 사례 4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n">
        <ns0:f>D9*E9</ns0:f>
        <ns0:v>2000</ns0:v>
      </ns0:c>
      <ns0:c r="G9" s="61" t="str">
        <ns0:v>진행</ns0:v>
      </ns0:c>
      <ns0:c r="H9" s="2"/>
      <ns0:c r="I9" s="17" t="str"/>
    </ns0:row>
    <ns0:row r="10" ht="32" customHeight="1">
      <ns0:c r="A10" s="32"/>
      <ns0:c r="B10" s="33" t="str">
        <ns0:v>ID 사례 5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n">
        <ns0:v>999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f>"FORMULA"</ns0:f>
        <ns0:v>FORMULA</ns0:v>
      </ns0:c>
      <ns0:c r="B11" s="36" t="str">
        <ns0:v>ID 사례 6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f>D11*E11</ns0:f>
        <ns0:v>2000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1</ns0:v>
      </ns0:c>
      <ns0:c r="B12" s="33" t="str">
        <ns0:v>ID 사례 7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f>D12*E12</ns0:f>
        <ns0:v>2000</ns0:v>
      </ns0:c>
      <ns0:c r="G12" s="60" t="str">
        <ns0:v>진행</ns0:v>
      </ns0:c>
      <ns0:c r="H12" s="2"/>
      <ns0:c r="I12" s="17" t="str"/>
    </ns0:row>
    <ns0:row r="13" ht="32" customHeight="1">
      <ns0:c r="A13" s="67" t="str">
        <ns0:v>공백ID</ns0:v>
      </ns0:c>
      <ns0:c r="B13" s="68" t="str">
        <ns0:v>ID 사례 8</ns0:v>
      </ns0:c>
      <ns0:c r="C13" s="68" t="str">
        <ns0:v>김예제</ns0:v>
      </ns0:c>
      <ns0:c r="D13" s="71" t="n">
        <ns0:v>2</ns0:v>
      </ns0:c>
      <ns0:c r="E13" s="71" t="n">
        <ns0:v>1000</ns0:v>
      </ns0:c>
      <ns0:c r="F13" s="59" t="n">
        <ns0:f>D13*E13</ns0:f>
        <ns0:v>2000</ns0:v>
      </ns0:c>
      <ns0:c r="G13" s="72" t="str">
        <ns0:v>진행</ns0:v>
      </ns0:c>
      <ns0:c r="H13" s="2"/>
      <ns0:c r="I13" s="17" t="str"/>
    </ns0:row>
  </ns0:sheetData>
  <ns0:autoFilter ref="A5:G13"/>
  <ns0:mergeCells>
    <ns0:mergeCell ref="A1:I1"/>
    <ns0:mergeCell ref="A2:I2"/>
    <ns0:mergeCell ref="A3:I3"/>
    <ns0:mergeCell ref="A4:C4"/>
    <ns0:mergeCell ref="F4:I4"/>
  </ns0:mergeCells>
  <ns0:conditionalFormatting sqref="G6:G13">
    <ns0:cfRule type="containsText" dxfId="8" priority="1" operator="containsText" text="완료"/>
    <ns0:cfRule type="containsText" dxfId="9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5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유효성규칙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드롭다운 삭제·허용값 변경·숫자 범위 변경을 비교합니다. 규칙 자체는 자동 복원하지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V-1</ns0:v>
      </ns0:c>
      <ns0:c r="B6" s="33" t="str">
        <ns0:v>목록 규칙 삭제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D6*E6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V-2</ns0:v>
      </ns0:c>
      <ns0:c r="B7" s="36" t="str">
        <ns0:v>목록 규칙 변경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D7*E7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V-3</ns0:v>
      </ns0:c>
      <ns0:c r="B8" s="33" t="str">
        <ns0:v>목록 규칙 유지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D8*E8</ns0:f>
        <ns0:v>2000</ns0:v>
      </ns0:c>
      <ns0:c r="G8" s="60" t="str">
        <ns0:v>진행</ns0:v>
      </ns0:c>
      <ns0:c r="H8" s="2"/>
      <ns0:c r="I8" s="17" t="str"/>
    </ns0:row>
    <ns0:row r="9" ht="32" customHeight="1">
      <ns0:c r="A9" s="67" t="str">
        <ns0:v>V-4</ns0:v>
      </ns0:c>
      <ns0:c r="B9" s="68" t="str">
        <ns0:v>숫자 범위 변경</ns0:v>
      </ns0:c>
      <ns0:c r="C9" s="68" t="str">
        <ns0:v>김예제</ns0:v>
      </ns0:c>
      <ns0:c r="D9" s="71" t="n">
        <ns0:v>2</ns0:v>
      </ns0:c>
      <ns0:c r="E9" s="71" t="n">
        <ns0:v>1000</ns0:v>
      </ns0:c>
      <ns0:c r="F9" s="59" t="n">
        <ns0:f>D9*E9</ns0:f>
        <ns0:v>2000</ns0:v>
      </ns0:c>
      <ns0:c r="G9" s="72" t="str">
        <ns0:v>진행</ns0:v>
      </ns0:c>
      <ns0:c r="H9" s="2"/>
      <ns0:c r="I9" s="17" t="str"/>
    </ns0:row>
  </ns0:sheetData>
  <ns0:autoFilter ref="A5:G9"/>
  <ns0:mergeCells>
    <ns0:mergeCell ref="A1:I1"/>
    <ns0:mergeCell ref="A2:I2"/>
    <ns0:mergeCell ref="A3:I3"/>
    <ns0:mergeCell ref="A4:C4"/>
    <ns0:mergeCell ref="F4:I4"/>
  </ns0:mergeCells>
  <ns0:conditionalFormatting sqref="G6:G9">
    <ns0:cfRule type="containsText" dxfId="10" priority="1" operator="containsText" text="완료"/>
    <ns0:cfRule type="containsText" dxfId="11" priority="2" operator="containsText" text="보류"/>
  </ns0:conditionalFormatting>
  <ns0:dataValidations count="3">
    <ns0:dataValidation type="list" sqref="G8">
      <ns0:formula1>"대기,진행,완료,보류"</ns0:formula1>
    </ns0:dataValidation>
    <ns0:dataValidation type="list" sqref="G7">
      <ns0:formula1>"대기,진행,완료"</ns0:formula1>
    </ns0:dataValidation>
    <ns0:dataValidation type="whole" operator="between" sqref="D9">
      <ns0:formula1>1</ns0:formula1>
      <ns0:formula2>50</ns0:formula2>
    </ns0:dataValidation>
  </ns0:dataValidations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6.xml><?xml version="1.0" encoding="utf-8"?>
<ns0:worksheet xmlns:ns0="http://schemas.openxmlformats.org/spreadsheetml/2006/main">
  <ns0:sheetPr>
    <ns0:tabColor rgb="FFAC8654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수식검사범위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지원하지 않는 수식은 미검증으로 남깁니다. 자기참조와 0 나누기는 의도한 한계 확인 사례입니다.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S-1</ns0:v>
      </ns0:c>
      <ns0:c r="B6" s="33" t="str">
        <ns0:v>다른 행 참조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D7*E7</ns0:f>
        <ns0:v>2000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S-2</ns0:v>
      </ns0:c>
      <ns0:c r="B7" s="36" t="str">
        <ns0:v>같은 행 SUM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SUM(D7:E7)</ns0:f>
        <ns0:v>1002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S-3</ns0:v>
      </ns0:c>
      <ns0:c r="B8" s="33" t="str">
        <ns0:v>자기참조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>
        <ns0:f>F8+1</ns0:f>
      </ns0:c>
      <ns0:c r="G8" s="60" t="str">
        <ns0:v>진행</ns0:v>
      </ns0:c>
      <ns0:c r="H8" s="2"/>
      <ns0:c r="I8" s="17" t="str"/>
    </ns0:row>
    <ns0:row r="9" ht="32" customHeight="1">
      <ns0:c r="A9" s="35" t="str">
        <ns0:v>S-4</ns0:v>
      </ns0:c>
      <ns0:c r="B9" s="36" t="str">
        <ns0:v>0 나누기 한계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e">
        <ns0:f>D9/0</ns0:f>
        <ns0:v>#DIV/0!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S-5</ns0:v>
      </ns0:c>
      <ns0:c r="B10" s="33" t="str">
        <ns0:v>상수 0 나누기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e">
        <ns0:f>1/0</ns0:f>
        <ns0:v>#DIV/0!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S-6</ns0:v>
      </ns0:c>
      <ns0:c r="B11" s="36" t="str">
        <ns0:v>미지원 함수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f>VLOOKUP(A11,A6:E11,4,FALSE)</ns0:f>
        <ns0:v>2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S-7</ns0:v>
      </ns0:c>
      <ns0:c r="B12" s="33" t="str">
        <ns0:v>다른 시트 참조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f>'01_수식복원'!D6</ns0:f>
        <ns0:v>2</ns0:v>
      </ns0:c>
      <ns0:c r="G12" s="60" t="str">
        <ns0:v>진행</ns0:v>
      </ns0:c>
      <ns0:c r="H12" s="2"/>
      <ns0:c r="I12" s="17" t="str"/>
    </ns0:row>
    <ns0:row r="13" ht="32" customHeight="1">
      <ns0:c r="A13" s="35" t="str">
        <ns0:v>S-8</ns0:v>
      </ns0:c>
      <ns0:c r="B13" s="36" t="str">
        <ns0:v>절대 행 참조</ns0:v>
      </ns0:c>
      <ns0:c r="C13" s="36" t="str">
        <ns0:v>김예제</ns0:v>
      </ns0:c>
      <ns0:c r="D13" s="54" t="n">
        <ns0:v>2</ns0:v>
      </ns0:c>
      <ns0:c r="E13" s="54" t="n">
        <ns0:v>1000</ns0:v>
      </ns0:c>
      <ns0:c r="F13" s="58" t="n">
        <ns0:f>SUM($D$13:$E$13)</ns0:f>
        <ns0:v>1002</ns0:v>
      </ns0:c>
      <ns0:c r="G13" s="61" t="str">
        <ns0:v>진행</ns0:v>
      </ns0:c>
      <ns0:c r="H13" s="2"/>
      <ns0:c r="I13" s="17" t="str"/>
    </ns0:row>
    <ns0:row r="14" ht="32" customHeight="1">
      <ns0:c r="A14" s="32" t="str">
        <ns0:v>S-9</ns0:v>
      </ns0:c>
      <ns0:c r="B14" s="33" t="str">
        <ns0:v>지원 IF</ns0:v>
      </ns0:c>
      <ns0:c r="C14" s="33" t="str">
        <ns0:v>김예제</ns0:v>
      </ns0:c>
      <ns0:c r="D14" s="53" t="n">
        <ns0:v>2</ns0:v>
      </ns0:c>
      <ns0:c r="E14" s="53" t="n">
        <ns0:v>1000</ns0:v>
      </ns0:c>
      <ns0:c r="F14" s="58" t="n">
        <ns0:f>IF(D14&gt;0,E14,0)</ns0:f>
        <ns0:v>1000</ns0:v>
      </ns0:c>
      <ns0:c r="G14" s="60" t="str">
        <ns0:v>진행</ns0:v>
      </ns0:c>
      <ns0:c r="H14" s="2"/>
      <ns0:c r="I14" s="17" t="str"/>
    </ns0:row>
    <ns0:row r="15" ht="32" customHeight="1">
      <ns0:c r="A15" s="67" t="str">
        <ns0:v>S-10</ns0:v>
      </ns0:c>
      <ns0:c r="B15" s="68" t="str">
        <ns0:v>상수만 있는 식</ns0:v>
      </ns0:c>
      <ns0:c r="C15" s="68" t="str">
        <ns0:v>김예제</ns0:v>
      </ns0:c>
      <ns0:c r="D15" s="71" t="n">
        <ns0:v>2</ns0:v>
      </ns0:c>
      <ns0:c r="E15" s="71" t="n">
        <ns0:v>1000</ns0:v>
      </ns0:c>
      <ns0:c r="F15" s="59" t="n">
        <ns0:f>42</ns0:f>
        <ns0:v>42</ns0:v>
      </ns0:c>
      <ns0:c r="G15" s="72" t="str">
        <ns0:v>진행</ns0:v>
      </ns0:c>
      <ns0:c r="H15" s="2"/>
      <ns0:c r="I15" s="17" t="str"/>
    </ns0:row>
  </ns0:sheetData>
  <ns0:autoFilter ref="A5:G15"/>
  <ns0:mergeCells>
    <ns0:mergeCell ref="A1:I1"/>
    <ns0:mergeCell ref="A2:I2"/>
    <ns0:mergeCell ref="A3:I3"/>
    <ns0:mergeCell ref="A4:C4"/>
    <ns0:mergeCell ref="F4:I4"/>
  </ns0:mergeCells>
  <ns0:conditionalFormatting sqref="G6:G15">
    <ns0:cfRule type="containsText" dxfId="12" priority="1" operator="containsText" text="완료"/>
    <ns0:cfRule type="containsText" dxfId="13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7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저장오류값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저장된 오류값을 검출합니다. 확장 오류 2종은 #VALUE! 호환값으로 저장하며 원형 검증은 범위 밖입니다.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E-1</ns0:v>
      </ns0:c>
      <ns0:c r="B6" s="33" t="str">
        <ns0:v>저장된 #DIV/0!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e">
        <ns0:v>#DIV/0!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E-2</ns0:v>
      </ns0:c>
      <ns0:c r="B7" s="36" t="str">
        <ns0:v>저장된 #VALUE!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e">
        <ns0:v>#VALUE!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E-3</ns0:v>
      </ns0:c>
      <ns0:c r="B8" s="33" t="str">
        <ns0:v>저장된 #N/A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e">
        <ns0:v>#N/A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E-4</ns0:v>
      </ns0:c>
      <ns0:c r="B9" s="36" t="str">
        <ns0:v>저장된 #NAME?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e">
        <ns0:v>#NAME?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E-5</ns0:v>
      </ns0:c>
      <ns0:c r="B10" s="33" t="str">
        <ns0:v>저장된 #NUM!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e">
        <ns0:v>#NUM!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E-6</ns0:v>
      </ns0:c>
      <ns0:c r="B11" s="36" t="str">
        <ns0:v>저장된 #NULL!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e">
        <ns0:v>#NULL!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E-7</ns0:v>
      </ns0:c>
      <ns0:c r="B12" s="33" t="str">
        <ns0:v>확장 오류 호환값 A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e">
        <ns0:v>#VALUE!</ns0:v>
      </ns0:c>
      <ns0:c r="G12" s="60" t="str">
        <ns0:v>진행</ns0:v>
      </ns0:c>
      <ns0:c r="H12" s="2"/>
      <ns0:c r="I12" s="17" t="str">
        <ns0:v>#SPILL! 원형은 범위 밖 · #VALUE! 저장</ns0:v>
      </ns0:c>
    </ns0:row>
    <ns0:row r="13" ht="32" customHeight="1">
      <ns0:c r="A13" s="35" t="str">
        <ns0:v>E-8</ns0:v>
      </ns0:c>
      <ns0:c r="B13" s="36" t="str">
        <ns0:v>확장 오류 호환값 B</ns0:v>
      </ns0:c>
      <ns0:c r="C13" s="36" t="str">
        <ns0:v>김예제</ns0:v>
      </ns0:c>
      <ns0:c r="D13" s="54" t="n">
        <ns0:v>2</ns0:v>
      </ns0:c>
      <ns0:c r="E13" s="54" t="n">
        <ns0:v>1000</ns0:v>
      </ns0:c>
      <ns0:c r="F13" s="58" t="e">
        <ns0:v>#VALUE!</ns0:v>
      </ns0:c>
      <ns0:c r="G13" s="61" t="str">
        <ns0:v>진행</ns0:v>
      </ns0:c>
      <ns0:c r="H13" s="2"/>
      <ns0:c r="I13" s="17" t="str">
        <ns0:v>#CALC! 원형은 범위 밖 · #VALUE! 저장</ns0:v>
      </ns0:c>
    </ns0:row>
    <ns0:row r="14" ht="32" customHeight="1">
      <ns0:c r="A14" s="38" t="str">
        <ns0:v>E-9</ns0:v>
      </ns0:c>
      <ns0:c r="B14" s="39" t="str">
        <ns0:v>저장된 #REF!</ns0:v>
      </ns0:c>
      <ns0:c r="C14" s="39" t="str">
        <ns0:v>김예제</ns0:v>
      </ns0:c>
      <ns0:c r="D14" s="55" t="n">
        <ns0:v>2</ns0:v>
      </ns0:c>
      <ns0:c r="E14" s="55" t="n">
        <ns0:v>1000</ns0:v>
      </ns0:c>
      <ns0:c r="F14" s="59" t="e">
        <ns0:v>#REF!</ns0:v>
      </ns0:c>
      <ns0:c r="G14" s="62" t="str">
        <ns0:v>진행</ns0:v>
      </ns0:c>
      <ns0:c r="H14" s="2"/>
      <ns0:c r="I14" s="17" t="str"/>
    </ns0:row>
  </ns0:sheetData>
  <ns0:autoFilter ref="A5:G14"/>
  <ns0:mergeCells>
    <ns0:mergeCell ref="A1:I1"/>
    <ns0:mergeCell ref="A2:I2"/>
    <ns0:mergeCell ref="A3:I3"/>
    <ns0:mergeCell ref="A4:C4"/>
    <ns0:mergeCell ref="F4:I4"/>
  </ns0:mergeCells>
  <ns0:conditionalFormatting sqref="G6:G14">
    <ns0:cfRule type="containsText" dxfId="14" priority="1" operator="containsText" text="완료"/>
    <ns0:cfRule type="containsText" dxfId="15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8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열구조변경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같은 이름의 열은 비교하되 열 구조가 바뀌면 수식을 자동 복원하지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수량</ns0:v>
      </ns0:c>
      <ns0:c r="D5" s="48" t="str">
        <ns0:v>담당자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8" t="str">
        <ns0:v>C-1</ns0:v>
      </ns0:c>
      <ns0:c r="B6" s="39" t="str">
        <ns0:v>열 순서 변경</ns0:v>
      </ns0:c>
      <ns0:c r="C6" s="39" t="n">
        <ns0:v>2</ns0:v>
      </ns0:c>
      <ns0:c r="D6" s="55" t="str">
        <ns0:v>김예제</ns0:v>
      </ns0:c>
      <ns0:c r="E6" s="55" t="n">
        <ns0:v>1000</ns0:v>
      </ns0:c>
      <ns0:c r="F6" s="59" t="n">
        <ns0:f>C6*E6</ns0:f>
        <ns0:v>2000</ns0:v>
      </ns0:c>
      <ns0:c r="G6" s="62" t="str">
        <ns0:v>진행</ns0:v>
      </ns0:c>
      <ns0:c r="H6" s="2"/>
      <ns0:c r="I6" s="17" t="str">
        <ns0:v>수식 복원 차단</ns0:v>
      </ns0:c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16" priority="1" operator="containsText" text="완료"/>
    <ns0:cfRule type="containsText" dxfId="17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9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부분스키마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ID 비교는 가능하지만 업무 헤더가 부족하여 필수값·상태 등 업무 규칙은 미검증입니다.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9" t="str">
        <ns0:v>담당자</ns0:v>
      </ns0:c>
      <ns0:c r="D5" s="2"/>
      <ns0:c r="E5" s="2"/>
      <ns0:c r="F5" s="2"/>
      <ns0:c r="G5" s="2"/>
      <ns0:c r="H5" s="2"/>
      <ns0:c r="I5" s="2"/>
    </ns0:row>
    <ns0:row r="6" ht="32" customHeight="1">
      <ns0:c r="A6" s="38" t="str">
        <ns0:v>P-1</ns0:v>
      </ns0:c>
      <ns0:c r="B6" s="39" t="str">
        <ns0:v>변경 후</ns0:v>
      </ns0:c>
      <ns0:c r="C6" s="40" t="str">
        <ns0:v>김예제</ns0:v>
      </ns0:c>
      <ns0:c r="D6" s="2"/>
      <ns0:c r="E6" s="2"/>
      <ns0:c r="F6" s="2"/>
      <ns0:c r="G6" s="2"/>
      <ns0:c r="H6" s="2"/>
      <ns0:c r="I6" s="2"/>
    </ns0:row>
  </ns0:sheetData>
  <ns0:autoFilter ref="A5:C6"/>
  <ns0:mergeCells>
    <ns0:mergeCell ref="A1:I1"/>
    <ns0:mergeCell ref="A2:I2"/>
    <ns0:mergeCell ref="A3:I3"/>
    <ns0:mergeCell ref="A4:C4"/>
    <ns0:mergeCell ref="F4:I4"/>
  </ns0:mergeCells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0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ID헤더없음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ID 헤더가 없어 행 비교와 자동 복원을 수행하지 않습니다.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설명</ns0:v>
      </ns0:c>
      <ns0:c r="B5" s="49" t="str">
        <ns0:v>값</ns0:v>
      </ns0:c>
      <ns0:c r="C5" s="2"/>
      <ns0:c r="D5" s="2"/>
      <ns0:c r="E5" s="2"/>
      <ns0:c r="F5" s="2"/>
      <ns0:c r="G5" s="2"/>
      <ns0:c r="H5" s="2"/>
      <ns0:c r="I5" s="2"/>
    </ns0:row>
    <ns0:row r="6" ht="32" customHeight="1">
      <ns0:c r="A6" s="38" t="str">
        <ns0:v>자료 설명</ns0:v>
      </ns0:c>
      <ns0:c r="B6" s="40" t="n">
        <ns0:v>200</ns0:v>
      </ns0:c>
      <ns0:c r="C6" s="2"/>
      <ns0:c r="D6" s="2"/>
      <ns0:c r="E6" s="2"/>
      <ns0:c r="F6" s="2"/>
      <ns0:c r="G6" s="2"/>
      <ns0:c r="H6" s="2"/>
      <ns0:c r="I6" s="2"/>
    </ns0:row>
  </ns0:sheetData>
  <ns0:autoFilter ref="A5:B6"/>
  <ns0:mergeCells>
    <ns0:mergeCell ref="A1:I1"/>
    <ns0:mergeCell ref="A2:I2"/>
    <ns0:mergeCell ref="A3:I3"/>
    <ns0:mergeCell ref="A4:C4"/>
    <ns0:mergeCell ref="F4:I4"/>
  </ns0:mergeCells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1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중복헤더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담당자 헤더가 중복되어 열 의미가 모호한 사례입니다.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담당자</ns0:v>
      </ns0:c>
    </ns0:row>
    <ns0:row r="6" ht="32" customHeight="1">
      <ns0:c r="A6" s="38" t="str">
        <ns0:v>H-1</ns0:v>
      </ns0:c>
      <ns0:c r="B6" s="39" t="str">
        <ns0:v>중복 헤더</ns0:v>
      </ns0:c>
      <ns0:c r="C6" s="39" t="str">
        <ns0:v>김예제</ns0:v>
      </ns0:c>
      <ns0:c r="D6" s="55" t="n">
        <ns0:v>2</ns0:v>
      </ns0:c>
      <ns0:c r="E6" s="55" t="n">
        <ns0:v>1000</ns0:v>
      </ns0:c>
      <ns0:c r="F6" s="59" t="n">
        <ns0:f>D6*E6</ns0:f>
        <ns0:v>2000</ns0:v>
      </ns0:c>
      <ns0:c r="G6" s="62" t="str">
        <ns0:v>진행</ns0:v>
      </ns0:c>
      <ns0:c r="H6" s="2"/>
      <ns0:c r="I6" s="17" t="str"/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18" priority="1" operator="containsText" text="완료"/>
    <ns0:cfRule type="containsText" dxfId="19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2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지원함수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동일 행 참조의 지원 함수는 기준과 같으면 경고 없이 검사합니다.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2" t="str">
        <ns0:v>OK-1</ns0:v>
      </ns0:c>
      <ns0:c r="B6" s="33" t="str">
        <ns0:v>SUM 지원 확인</ns0:v>
      </ns0:c>
      <ns0:c r="C6" s="33" t="str">
        <ns0:v>김예제</ns0:v>
      </ns0:c>
      <ns0:c r="D6" s="53" t="n">
        <ns0:v>2</ns0:v>
      </ns0:c>
      <ns0:c r="E6" s="53" t="n">
        <ns0:v>1000</ns0:v>
      </ns0:c>
      <ns0:c r="F6" s="58" t="n">
        <ns0:f>SUM(D6:E6)</ns0:f>
        <ns0:v>1002</ns0:v>
      </ns0:c>
      <ns0:c r="G6" s="60" t="str">
        <ns0:v>진행</ns0:v>
      </ns0:c>
      <ns0:c r="H6" s="2"/>
      <ns0:c r="I6" s="17" t="str"/>
    </ns0:row>
    <ns0:row r="7" ht="32" customHeight="1">
      <ns0:c r="A7" s="35" t="str">
        <ns0:v>OK-2</ns0:v>
      </ns0:c>
      <ns0:c r="B7" s="36" t="str">
        <ns0:v>PRODUCT 지원 확인</ns0:v>
      </ns0:c>
      <ns0:c r="C7" s="36" t="str">
        <ns0:v>김예제</ns0:v>
      </ns0:c>
      <ns0:c r="D7" s="54" t="n">
        <ns0:v>2</ns0:v>
      </ns0:c>
      <ns0:c r="E7" s="54" t="n">
        <ns0:v>1000</ns0:v>
      </ns0:c>
      <ns0:c r="F7" s="58" t="n">
        <ns0:f>PRODUCT(D7:E7)</ns0:f>
        <ns0:v>2000</ns0:v>
      </ns0:c>
      <ns0:c r="G7" s="61" t="str">
        <ns0:v>진행</ns0:v>
      </ns0:c>
      <ns0:c r="H7" s="2"/>
      <ns0:c r="I7" s="17" t="str"/>
    </ns0:row>
    <ns0:row r="8" ht="32" customHeight="1">
      <ns0:c r="A8" s="32" t="str">
        <ns0:v>OK-3</ns0:v>
      </ns0:c>
      <ns0:c r="B8" s="33" t="str">
        <ns0:v>ROUND 지원 확인</ns0:v>
      </ns0:c>
      <ns0:c r="C8" s="33" t="str">
        <ns0:v>김예제</ns0:v>
      </ns0:c>
      <ns0:c r="D8" s="53" t="n">
        <ns0:v>2</ns0:v>
      </ns0:c>
      <ns0:c r="E8" s="53" t="n">
        <ns0:v>1000</ns0:v>
      </ns0:c>
      <ns0:c r="F8" s="58" t="n">
        <ns0:f>ROUND(D8*E8,0)</ns0:f>
        <ns0:v>2000</ns0:v>
      </ns0:c>
      <ns0:c r="G8" s="60" t="str">
        <ns0:v>진행</ns0:v>
      </ns0:c>
      <ns0:c r="H8" s="2"/>
      <ns0:c r="I8" s="17" t="str"/>
    </ns0:row>
    <ns0:row r="9" ht="32" customHeight="1">
      <ns0:c r="A9" s="35" t="str">
        <ns0:v>OK-4</ns0:v>
      </ns0:c>
      <ns0:c r="B9" s="36" t="str">
        <ns0:v>ROUNDUP 지원 확인</ns0:v>
      </ns0:c>
      <ns0:c r="C9" s="36" t="str">
        <ns0:v>김예제</ns0:v>
      </ns0:c>
      <ns0:c r="D9" s="54" t="n">
        <ns0:v>2</ns0:v>
      </ns0:c>
      <ns0:c r="E9" s="54" t="n">
        <ns0:v>1000</ns0:v>
      </ns0:c>
      <ns0:c r="F9" s="58" t="n">
        <ns0:f>ROUNDUP(D9*E9,0)</ns0:f>
        <ns0:v>2000</ns0:v>
      </ns0:c>
      <ns0:c r="G9" s="61" t="str">
        <ns0:v>진행</ns0:v>
      </ns0:c>
      <ns0:c r="H9" s="2"/>
      <ns0:c r="I9" s="17" t="str"/>
    </ns0:row>
    <ns0:row r="10" ht="32" customHeight="1">
      <ns0:c r="A10" s="32" t="str">
        <ns0:v>OK-5</ns0:v>
      </ns0:c>
      <ns0:c r="B10" s="33" t="str">
        <ns0:v>ROUNDDOWN 지원 확인</ns0:v>
      </ns0:c>
      <ns0:c r="C10" s="33" t="str">
        <ns0:v>김예제</ns0:v>
      </ns0:c>
      <ns0:c r="D10" s="53" t="n">
        <ns0:v>2</ns0:v>
      </ns0:c>
      <ns0:c r="E10" s="53" t="n">
        <ns0:v>1000</ns0:v>
      </ns0:c>
      <ns0:c r="F10" s="58" t="n">
        <ns0:f>ROUNDDOWN(D10*E10,0)</ns0:f>
        <ns0:v>2000</ns0:v>
      </ns0:c>
      <ns0:c r="G10" s="60" t="str">
        <ns0:v>진행</ns0:v>
      </ns0:c>
      <ns0:c r="H10" s="2"/>
      <ns0:c r="I10" s="17" t="str"/>
    </ns0:row>
    <ns0:row r="11" ht="32" customHeight="1">
      <ns0:c r="A11" s="35" t="str">
        <ns0:v>OK-6</ns0:v>
      </ns0:c>
      <ns0:c r="B11" s="36" t="str">
        <ns0:v>ABS 지원 확인</ns0:v>
      </ns0:c>
      <ns0:c r="C11" s="36" t="str">
        <ns0:v>김예제</ns0:v>
      </ns0:c>
      <ns0:c r="D11" s="54" t="n">
        <ns0:v>2</ns0:v>
      </ns0:c>
      <ns0:c r="E11" s="54" t="n">
        <ns0:v>1000</ns0:v>
      </ns0:c>
      <ns0:c r="F11" s="58" t="n">
        <ns0:f>ABS(D11*E11)</ns0:f>
        <ns0:v>2000</ns0:v>
      </ns0:c>
      <ns0:c r="G11" s="61" t="str">
        <ns0:v>진행</ns0:v>
      </ns0:c>
      <ns0:c r="H11" s="2"/>
      <ns0:c r="I11" s="17" t="str"/>
    </ns0:row>
    <ns0:row r="12" ht="32" customHeight="1">
      <ns0:c r="A12" s="32" t="str">
        <ns0:v>OK-7</ns0:v>
      </ns0:c>
      <ns0:c r="B12" s="33" t="str">
        <ns0:v>MIN 지원 확인</ns0:v>
      </ns0:c>
      <ns0:c r="C12" s="33" t="str">
        <ns0:v>김예제</ns0:v>
      </ns0:c>
      <ns0:c r="D12" s="53" t="n">
        <ns0:v>2</ns0:v>
      </ns0:c>
      <ns0:c r="E12" s="53" t="n">
        <ns0:v>1000</ns0:v>
      </ns0:c>
      <ns0:c r="F12" s="58" t="n">
        <ns0:f>MIN(D12:E12)</ns0:f>
        <ns0:v>2</ns0:v>
      </ns0:c>
      <ns0:c r="G12" s="60" t="str">
        <ns0:v>진행</ns0:v>
      </ns0:c>
      <ns0:c r="H12" s="2"/>
      <ns0:c r="I12" s="17" t="str"/>
    </ns0:row>
    <ns0:row r="13" ht="32" customHeight="1">
      <ns0:c r="A13" s="35" t="str">
        <ns0:v>OK-8</ns0:v>
      </ns0:c>
      <ns0:c r="B13" s="36" t="str">
        <ns0:v>MAX 지원 확인</ns0:v>
      </ns0:c>
      <ns0:c r="C13" s="36" t="str">
        <ns0:v>김예제</ns0:v>
      </ns0:c>
      <ns0:c r="D13" s="54" t="n">
        <ns0:v>2</ns0:v>
      </ns0:c>
      <ns0:c r="E13" s="54" t="n">
        <ns0:v>1000</ns0:v>
      </ns0:c>
      <ns0:c r="F13" s="58" t="n">
        <ns0:f>MAX(D13:E13)</ns0:f>
        <ns0:v>1000</ns0:v>
      </ns0:c>
      <ns0:c r="G13" s="61" t="str">
        <ns0:v>진행</ns0:v>
      </ns0:c>
      <ns0:c r="H13" s="2"/>
      <ns0:c r="I13" s="17" t="str"/>
    </ns0:row>
    <ns0:row r="14" ht="32" customHeight="1">
      <ns0:c r="A14" s="32" t="str">
        <ns0:v>OK-9</ns0:v>
      </ns0:c>
      <ns0:c r="B14" s="33" t="str">
        <ns0:v>AVERAGE 지원 확인</ns0:v>
      </ns0:c>
      <ns0:c r="C14" s="33" t="str">
        <ns0:v>김예제</ns0:v>
      </ns0:c>
      <ns0:c r="D14" s="53" t="n">
        <ns0:v>2</ns0:v>
      </ns0:c>
      <ns0:c r="E14" s="53" t="n">
        <ns0:v>1000</ns0:v>
      </ns0:c>
      <ns0:c r="F14" s="58" t="n">
        <ns0:f>AVERAGE(D14:E14)</ns0:f>
        <ns0:v>501</ns0:v>
      </ns0:c>
      <ns0:c r="G14" s="60" t="str">
        <ns0:v>진행</ns0:v>
      </ns0:c>
      <ns0:c r="H14" s="2"/>
      <ns0:c r="I14" s="17" t="str"/>
    </ns0:row>
    <ns0:row r="15" ht="32" customHeight="1">
      <ns0:c r="A15" s="67" t="str">
        <ns0:v>OK-10</ns0:v>
      </ns0:c>
      <ns0:c r="B15" s="68" t="str">
        <ns0:v>IF 지원 확인</ns0:v>
      </ns0:c>
      <ns0:c r="C15" s="68" t="str">
        <ns0:v>김예제</ns0:v>
      </ns0:c>
      <ns0:c r="D15" s="71" t="n">
        <ns0:v>2</ns0:v>
      </ns0:c>
      <ns0:c r="E15" s="71" t="n">
        <ns0:v>1000</ns0:v>
      </ns0:c>
      <ns0:c r="F15" s="59" t="n">
        <ns0:f>IF(D15&gt;0,D15*E15,0)</ns0:f>
        <ns0:v>2000</ns0:v>
      </ns0:c>
      <ns0:c r="G15" s="72" t="str">
        <ns0:v>진행</ns0:v>
      </ns0:c>
      <ns0:c r="H15" s="2"/>
      <ns0:c r="I15" s="17" t="str"/>
    </ns0:row>
  </ns0:sheetData>
  <ns0:autoFilter ref="A5:G15"/>
  <ns0:mergeCells>
    <ns0:mergeCell ref="A1:I1"/>
    <ns0:mergeCell ref="A2:I2"/>
    <ns0:mergeCell ref="A3:I3"/>
    <ns0:mergeCell ref="A4:C4"/>
    <ns0:mergeCell ref="F4:I4"/>
  </ns0:mergeCells>
  <ns0:conditionalFormatting sqref="G6:G15">
    <ns0:cfRule type="containsText" dxfId="20" priority="1" operator="containsText" text="완료"/>
    <ns0:cfRule type="containsText" dxfId="21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3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내보내기안전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CSV의 수식 해석 방지와 HTML 보고서의 텍스트 이스케이프를 확인합니다.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8" t="str">
        <ns0:v>X-1</ns0:v>
      </ns0:c>
      <ns0:c r="B6" s="39" t="str">
        <ns0:v>+업무문자 &lt;script&gt;안전&lt;/script&gt;</ns0:v>
      </ns0:c>
      <ns0:c r="C6" s="39" t="str">
        <ns0:v>김예제</ns0:v>
      </ns0:c>
      <ns0:c r="D6" s="55" t="n">
        <ns0:v>2</ns0:v>
      </ns0:c>
      <ns0:c r="E6" s="55" t="n">
        <ns0:v>1000</ns0:v>
      </ns0:c>
      <ns0:c r="F6" s="59" t="n">
        <ns0:f>D6*E6</ns0:f>
        <ns0:v>2000</ns0:v>
      </ns0:c>
      <ns0:c r="G6" s="62" t="str">
        <ns0:v>진행</ns0:v>
      </ns0:c>
      <ns0:c r="H6" s="2"/>
      <ns0:c r="I6" s="17" t="str"/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22" priority="1" operator="containsText" text="완료"/>
    <ns0:cfRule type="containsText" dxfId="23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

<file path=xl/worksheets/sheet14.xml><?xml version="1.0" encoding="utf-8"?>
<ns0:worksheet xmlns:ns0="http://schemas.openxmlformats.org/spreadsheetml/2006/main">
  <ns0:sheetPr>
    <ns0:tabColor rgb="FF8B929A"/>
    <ns0:pageSetUpPr fitToPage="1"/>
  </ns0:sheetPr>
  <ns0:sheetViews>
    <ns0:sheetView showGridLines="0" workbookViewId="0">
      <ns0:pane ySplit="5" topLeftCell="A6" activePane="bottomLeft" state="frozen"/>
    </ns0:sheetView>
  </ns0:sheetViews>
  <ns0:sheetFormatPr defaultRowHeight="15"/>
  <ns0:cols>
    <ns0:col min="1" max="1" width="18" hidden="0" customWidth="1"/>
    <ns0:col min="2" max="2" width="34" hidden="0" customWidth="1"/>
    <ns0:col min="3" max="3" width="18" hidden="0" customWidth="1"/>
    <ns0:col min="4" max="4" width="17" hidden="0" customWidth="1"/>
    <ns0:col min="5" max="5" width="17" hidden="0" customWidth="1"/>
    <ns0:col min="6" max="6" width="23" hidden="0" customWidth="1"/>
    <ns0:col min="7" max="7" width="15" hidden="0" customWidth="1"/>
    <ns0:col min="8" max="8" width="3" hidden="0" customWidth="1"/>
    <ns0:col min="9" max="9" width="43" hidden="0" customWidth="1"/>
  </ns0:cols>
  <ns0:sheetData>
    <ns0:row r="1" ht="22" customHeight="1">
      <ns0:c r="A1" s="3" t="str">
        <ns0:v>WORKMATE  /  ERP 업무 품질 검토  /  서식 2</ns0:v>
      </ns0:c>
      <ns0:c r="B1" s="3"/>
      <ns0:c r="C1" s="3"/>
      <ns0:c r="D1" s="3"/>
      <ns0:c r="E1" s="3"/>
      <ns0:c r="F1" s="3"/>
      <ns0:c r="G1" s="3"/>
      <ns0:c r="H1" s="3"/>
      <ns0:c r="I1" s="3"/>
    </ns0:row>
    <ns0:row r="2" ht="39" customHeight="1">
      <ns0:c r="A2" s="4" t="str">
        <ns0:v>추가된시트 · 수정본</ns0:v>
      </ns0:c>
      <ns0:c r="B2" s="4"/>
      <ns0:c r="C2" s="4"/>
      <ns0:c r="D2" s="4"/>
      <ns0:c r="E2" s="4"/>
      <ns0:c r="F2" s="4"/>
      <ns0:c r="G2" s="4"/>
      <ns0:c r="H2" s="4"/>
      <ns0:c r="I2" s="4"/>
    </ns0:row>
    <ns0:row r="3" ht="32" customHeight="1">
      <ns0:c r="A3" s="5" t="str">
        <ns0:v>업무 예제. 기준에 없는 새 시트는 정적 오류 검색만 수행합니다.</ns0:v>
      </ns0:c>
      <ns0:c r="B3" s="5"/>
      <ns0:c r="C3" s="5"/>
      <ns0:c r="D3" s="5"/>
      <ns0:c r="E3" s="5"/>
      <ns0:c r="F3" s="5"/>
      <ns0:c r="G3" s="5"/>
      <ns0:c r="H3" s="5"/>
      <ns0:c r="I3" s="5"/>
    </ns0:row>
    <ns0:row r="4" ht="27" customHeight="1">
      <ns0:c r="A4" s="9" t="str">
        <ns0:v>프로젝트: ERP 전환 / 업무관리</ns0:v>
      </ns0:c>
      <ns0:c r="B4" s="9"/>
      <ns0:c r="C4" s="9"/>
      <ns0:c r="D4" s="11" t="str">
        <ns0:v>검토 기준일</ns0:v>
      </ns0:c>
      <ns0:c r="E4" s="12" t="d">
        <ns0:v>2026-10-22T00:00:00.000Z</ns0:v>
      </ns0:c>
      <ns0:c r="F4" s="9" t="str">
        <ns0:v>수량: 건 · 금액: 원  |  원본 보존 · 사본 검토</ns0:v>
      </ns0:c>
      <ns0:c r="G4" s="9"/>
      <ns0:c r="H4" s="9"/>
      <ns0:c r="I4" s="9"/>
    </ns0:row>
    <ns0:row r="5" ht="34" customHeight="1">
      <ns0:c r="A5" s="47" t="str">
        <ns0:v>고유번호</ns0:v>
      </ns0:c>
      <ns0:c r="B5" s="48" t="str">
        <ns0:v>제목</ns0:v>
      </ns0:c>
      <ns0:c r="C5" s="48" t="str">
        <ns0:v>담당자</ns0:v>
      </ns0:c>
      <ns0:c r="D5" s="48" t="str">
        <ns0:v>수량</ns0:v>
      </ns0:c>
      <ns0:c r="E5" s="48" t="str">
        <ns0:v>단가</ns0:v>
      </ns0:c>
      <ns0:c r="F5" s="48" t="str">
        <ns0:v>합계</ns0:v>
      </ns0:c>
      <ns0:c r="G5" s="49" t="str">
        <ns0:v>상태</ns0:v>
      </ns0:c>
      <ns0:c r="H5" s="2"/>
      <ns0:c r="I5" s="16" t="str">
        <ns0:v>사례 설명</ns0:v>
      </ns0:c>
    </ns0:row>
    <ns0:row r="6" ht="32" customHeight="1">
      <ns0:c r="A6" s="38" t="str">
        <ns0:v>ADD-1</ns0:v>
      </ns0:c>
      <ns0:c r="B6" s="39" t="str">
        <ns0:v>추가 확인</ns0:v>
      </ns0:c>
      <ns0:c r="C6" s="39" t="str">
        <ns0:v>김예제</ns0:v>
      </ns0:c>
      <ns0:c r="D6" s="55" t="n">
        <ns0:v>2</ns0:v>
      </ns0:c>
      <ns0:c r="E6" s="55" t="n">
        <ns0:v>1000</ns0:v>
      </ns0:c>
      <ns0:c r="F6" s="59" t="e">
        <ns0:f>#REF!</ns0:f>
        <ns0:v>#REF!</ns0:v>
      </ns0:c>
      <ns0:c r="G6" s="62" t="str">
        <ns0:v>진행</ns0:v>
      </ns0:c>
      <ns0:c r="H6" s="2"/>
      <ns0:c r="I6" s="17" t="str"/>
    </ns0:row>
  </ns0:sheetData>
  <ns0:autoFilter ref="A5:G6"/>
  <ns0:mergeCells>
    <ns0:mergeCell ref="A1:I1"/>
    <ns0:mergeCell ref="A2:I2"/>
    <ns0:mergeCell ref="A3:I3"/>
    <ns0:mergeCell ref="A4:C4"/>
    <ns0:mergeCell ref="F4:I4"/>
  </ns0:mergeCells>
  <ns0:conditionalFormatting sqref="G6:G6">
    <ns0:cfRule type="containsText" dxfId="24" priority="1" operator="containsText" text="완료"/>
    <ns0:cfRule type="containsText" dxfId="25" priority="2" operator="containsText" text="보류"/>
  </ns0:conditionalFormatting>
  <ns0:printOptions horizontalCentered="1"/>
  <ns0:pageMargins left="0.25" right="0.25" top="0.35" bottom="0.35" header="0.15" footer="0.15"/>
  <ns0:pageSetup paperSize="9" orientation="landscape" fitToWidth="1" fitToHeight="0"/>
</ns0:worksheet>
</file>